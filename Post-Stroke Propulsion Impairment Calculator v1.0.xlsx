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https://bushare-my.sharepoint.com/personal/jfei_bu_edu/Documents/Main Folder/03 Research/NRL/Research Materials/Research Project/Propulsion Estimation Using Clinical Measures/Propulsion Estimation Using Clinical Assessment Paper/Manuscript/v2/"/>
    </mc:Choice>
  </mc:AlternateContent>
  <xr:revisionPtr revIDLastSave="4" documentId="13_ncr:1_{C1D598C2-786F-BC49-83F9-BC4F278F57E3}" xr6:coauthVersionLast="47" xr6:coauthVersionMax="47" xr10:uidLastSave="{28320717-53BF-054A-AA63-9E353D857FB4}"/>
  <bookViews>
    <workbookView xWindow="0" yWindow="680" windowWidth="29400" windowHeight="17400" activeTab="1" xr2:uid="{00000000-000D-0000-FFFF-FFFF00000000}"/>
  </bookViews>
  <sheets>
    <sheet name="Calculator" sheetId="1" r:id="rId1"/>
    <sheet name="Supporting Inform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E9" i="1" s="1"/>
  <c r="E12" i="1" l="1"/>
  <c r="G17" i="1"/>
</calcChain>
</file>

<file path=xl/sharedStrings.xml><?xml version="1.0" encoding="utf-8"?>
<sst xmlns="http://schemas.openxmlformats.org/spreadsheetml/2006/main" count="66" uniqueCount="63">
  <si>
    <t>Assessment</t>
  </si>
  <si>
    <t>Score</t>
  </si>
  <si>
    <t>Reference</t>
  </si>
  <si>
    <t>Value</t>
  </si>
  <si>
    <t>Interpretation</t>
  </si>
  <si>
    <t>Propulsion symmetry (%)</t>
  </si>
  <si>
    <t>≤ cutoff</t>
  </si>
  <si>
    <t>Severe propulsion impairment</t>
  </si>
  <si>
    <t>Classification</t>
  </si>
  <si>
    <t>Mild propulsion impairment</t>
  </si>
  <si>
    <t>Cutoff</t>
  </si>
  <si>
    <t>≤31.5%</t>
  </si>
  <si>
    <t>&gt;31.5%</t>
  </si>
  <si>
    <t>Model</t>
  </si>
  <si>
    <t>FMA-LE, SPPB, TUG, Chronicity</t>
  </si>
  <si>
    <t>SPPB, TUG, Chronicity</t>
  </si>
  <si>
    <t>TUG, Chronicity</t>
  </si>
  <si>
    <t>FMA-LE, TUG, Chronicity</t>
  </si>
  <si>
    <t>FMA-LE, SPPB, Chronicity</t>
  </si>
  <si>
    <t>FMA-LE, Chronicity</t>
  </si>
  <si>
    <t>SPPB, Chronicity</t>
  </si>
  <si>
    <t>Classification cutoff</t>
  </si>
  <si>
    <t xml:space="preserve">Instructions:              </t>
  </si>
  <si>
    <t>2. The reported classification accuracy is a study-level performance summary, not a patient-specific probability or clinical diagnosis. This calculator provides an estimate and does not replace instrumented biomechanical measurement when available.</t>
  </si>
  <si>
    <t>0–34 points; Fugl-Meyer Assessment of the Lower Extremity motor function</t>
  </si>
  <si>
    <t>0–12 points; Short Physical Performance Battery</t>
  </si>
  <si>
    <t>seconds; Timed Up and Go test</t>
  </si>
  <si>
    <t>years; time since first stroke at time of clinical assessment</t>
  </si>
  <si>
    <t>Estimated propulsion symmetry</t>
  </si>
  <si>
    <t xml:space="preserve"> 1  Clinical inputs</t>
  </si>
  <si>
    <t xml:space="preserve"> 2  Estimated result</t>
  </si>
  <si>
    <t xml:space="preserve"> Classification guide</t>
  </si>
  <si>
    <t xml:space="preserve"> Selected model</t>
  </si>
  <si>
    <t xml:space="preserve"> Study classification accuracy</t>
  </si>
  <si>
    <t xml:space="preserve"> Chronicity *</t>
  </si>
  <si>
    <t xml:space="preserve"> TUG</t>
  </si>
  <si>
    <t xml:space="preserve"> SPPB</t>
  </si>
  <si>
    <t xml:space="preserve"> FMA-LE</t>
  </si>
  <si>
    <t xml:space="preserve"> * Chronicity must be entered to generate an estimate.</t>
  </si>
  <si>
    <t>Regression equation</t>
  </si>
  <si>
    <t>Classification accuracy</t>
  </si>
  <si>
    <t>Required inputs</t>
  </si>
  <si>
    <t>Full model</t>
  </si>
  <si>
    <t>Reduced model 1</t>
  </si>
  <si>
    <t>Reduced model 2</t>
  </si>
  <si>
    <t>Reduced model 3</t>
  </si>
  <si>
    <t>Reduced model 4</t>
  </si>
  <si>
    <t>Reduced model 5</t>
  </si>
  <si>
    <t>Reduced model 6</t>
  </si>
  <si>
    <t>Propulsion symmetry = 112.69 + 0.95702×FMA-LE − 5.6389×SPPB − 3.1572×TUG − 1.0128×Chronicity</t>
  </si>
  <si>
    <t>Propulsion symmetry = 137.71 − 5.0545×SPPB − 3.744×TUG − 1.0062×Chronicity</t>
  </si>
  <si>
    <t>Propulsion symmetry = 66.03 − 2.0721×TUG − 0.6345×Chronicity</t>
  </si>
  <si>
    <t>Propulsion symmetry = 50.738 − 0.43935×FMA-LE − 1.714×TUG − 0.61777×Chronicity</t>
  </si>
  <si>
    <t>Propulsion symmetry = 3.6878 + 2.2024×FMA-LE − 2.181×SPPB − 0.28523×Chronicity</t>
  </si>
  <si>
    <t>Propulsion symmetry = −2.8283 + 1.6183×FMA-LE − 0.25169×Chronicity</t>
  </si>
  <si>
    <t>Propulsion symmetry = 18.142 + 1.5439×SPPB + 0.14513×Chronicity</t>
  </si>
  <si>
    <r>
      <t xml:space="preserve">Mild propulsion impairment: &gt;31.5%; severe propulsion impairment: ≤31.5%. </t>
    </r>
    <r>
      <rPr>
        <sz val="12"/>
        <color rgb="FF1F2937"/>
        <rFont val="Arial"/>
        <family val="2"/>
      </rPr>
      <t>Reference: Arumukhom Revi D. Advancing Accessible Movement Diagnostics and Precision Rehabilitation in Neurological Populations: From Digital Gait Estimations to Diagnostic and Predictive Biomarkers. [Doctoral dissertation]. Boston University; 2025. https://open.bu.edu/items/96c8cd84-5868-4a2f-be3c-07dc4c75a052</t>
    </r>
  </si>
  <si>
    <t>Supporting Information</t>
  </si>
  <si>
    <t>1. Enter the available clinical assessment scores. Chronicity is required for every model. The calculator then selects the best-performing model automatically.</t>
  </si>
  <si>
    <t>3. Example: FMA-LE = 23, SPPB = 10, TUG = 16.04, Chronicity = 6.60. The Full model estimates propulsion symmetry at 21.0% (severe propulsion impairment). The observed force-plate-derived propulsion symmetry for this participant was 21.46% (severe propulsion impairment).</t>
  </si>
  <si>
    <t>Version: v1.0 (September 2026)</t>
  </si>
  <si>
    <t>Study reference: Fei J, Wang R, Awad LN. [Title]. [Journal]. 2026. doi:TBD</t>
  </si>
  <si>
    <t>Post-Stroke Propulsion Impairment Calculator v1.0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</si>
</sst>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&quot;%&quot;"/>
    <numFmt numFmtId="165" formatCode="0.0%"/>
    <numFmt numFmtId="166" formatCode="0.0"/>
  </numFmts>
  <fonts count="27">
    <font>
      <sz val="11"/>
      <name val="Carlito"/>
    </font>
    <font>
      <b/>
      <sz val="18"/>
      <color rgb="FFFFFFFF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color rgb="FF111111"/>
      <name val="Arial"/>
      <family val="2"/>
    </font>
    <font>
      <b/>
      <sz val="11"/>
      <color rgb="FF222222"/>
      <name val="Arial"/>
      <family val="2"/>
    </font>
    <font>
      <sz val="11"/>
      <color rgb="FF222222"/>
      <name val="Arial"/>
      <family val="2"/>
    </font>
    <font>
      <b/>
      <i/>
      <sz val="12"/>
      <color rgb="FF1F2937"/>
      <name val="Arial"/>
      <family val="2"/>
    </font>
    <font>
      <sz val="12"/>
      <name val="Arial"/>
      <family val="2"/>
    </font>
    <font>
      <i/>
      <sz val="12"/>
      <color rgb="FF1F2937"/>
      <name val="Arial"/>
      <family val="2"/>
    </font>
    <font>
      <b/>
      <i/>
      <sz val="12"/>
      <color rgb="FFFF0000"/>
      <name val="Arial"/>
      <family val="2"/>
    </font>
    <font>
      <b/>
      <sz val="12"/>
      <color rgb="FFFFFFFF"/>
      <name val="Arial"/>
      <family val="2"/>
    </font>
    <font>
      <b/>
      <sz val="14"/>
      <color rgb="FFFFFFFF"/>
      <name val="Arial"/>
      <family val="2"/>
    </font>
    <font>
      <b/>
      <sz val="12"/>
      <color rgb="FF1F2937"/>
      <name val="Arial"/>
      <family val="2"/>
    </font>
    <font>
      <b/>
      <sz val="12"/>
      <color rgb="FF9C5700"/>
      <name val="Arial"/>
      <family val="2"/>
    </font>
    <font>
      <b/>
      <sz val="48"/>
      <color rgb="FF1F4E78"/>
      <name val="Arial"/>
      <family val="2"/>
    </font>
    <font>
      <b/>
      <sz val="14"/>
      <color rgb="FF1F2937"/>
      <name val="Arial"/>
      <family val="2"/>
    </font>
    <font>
      <b/>
      <sz val="16"/>
      <color rgb="FF1F2937"/>
      <name val="Arial"/>
      <family val="2"/>
    </font>
    <font>
      <b/>
      <sz val="22"/>
      <color rgb="FF1F2937"/>
      <name val="Arial"/>
      <family val="2"/>
    </font>
    <font>
      <b/>
      <sz val="12"/>
      <color rgb="FF1F4E78"/>
      <name val="Arial"/>
      <family val="2"/>
    </font>
    <font>
      <b/>
      <sz val="12"/>
      <color rgb="FF9C0006"/>
      <name val="Arial"/>
      <family val="2"/>
    </font>
    <font>
      <i/>
      <sz val="12"/>
      <color rgb="FF9C5700"/>
      <name val="Arial"/>
      <family val="2"/>
    </font>
    <font>
      <sz val="12"/>
      <color rgb="FF1F2937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rgb="FF374151"/>
      <name val="Arial"/>
      <family val="2"/>
    </font>
    <font>
      <i/>
      <sz val="12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EF5FB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3F4F6"/>
      </patternFill>
    </fill>
    <fill>
      <patternFill patternType="solid">
        <fgColor rgb="FFF4CCCC"/>
      </patternFill>
    </fill>
    <fill>
      <patternFill patternType="solid">
        <fgColor rgb="FFFCE4D6"/>
      </patternFill>
    </fill>
    <fill>
      <patternFill patternType="solid">
        <fgColor rgb="FFF7FAFC"/>
      </patternFill>
    </fill>
    <fill>
      <patternFill patternType="solid">
        <fgColor rgb="FFFFF8E1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/>
      <right/>
      <top/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rgb="FFEEF5FB"/>
      </bottom>
      <diagonal/>
    </border>
    <border>
      <left/>
      <right/>
      <top style="thin">
        <color theme="0"/>
      </top>
      <bottom style="thin">
        <color rgb="FFEEF5FB"/>
      </bottom>
      <diagonal/>
    </border>
    <border>
      <left/>
      <right style="thin">
        <color theme="0"/>
      </right>
      <top style="thin">
        <color theme="0"/>
      </top>
      <bottom style="thin">
        <color rgb="FFEEF5FB"/>
      </bottom>
      <diagonal/>
    </border>
    <border>
      <left style="thin">
        <color theme="0"/>
      </left>
      <right/>
      <top style="thin">
        <color rgb="FFEEF5FB"/>
      </top>
      <bottom style="thin">
        <color rgb="FFEEF5FB"/>
      </bottom>
      <diagonal/>
    </border>
    <border>
      <left/>
      <right/>
      <top style="thin">
        <color rgb="FFEEF5FB"/>
      </top>
      <bottom style="thin">
        <color rgb="FFEEF5FB"/>
      </bottom>
      <diagonal/>
    </border>
    <border>
      <left/>
      <right style="thin">
        <color theme="0"/>
      </right>
      <top style="thin">
        <color rgb="FFEEF5FB"/>
      </top>
      <bottom style="thin">
        <color rgb="FFEEF5FB"/>
      </bottom>
      <diagonal/>
    </border>
    <border>
      <left/>
      <right/>
      <top style="thin">
        <color rgb="FFEEF5FB"/>
      </top>
      <bottom/>
      <diagonal/>
    </border>
    <border>
      <left/>
      <right style="thin">
        <color theme="0"/>
      </right>
      <top style="thin">
        <color rgb="FFEEF5FB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rgb="FFD9EAF7"/>
      </bottom>
      <diagonal/>
    </border>
    <border>
      <left/>
      <right/>
      <top style="thin">
        <color theme="0"/>
      </top>
      <bottom style="thin">
        <color rgb="FFD9EAF7"/>
      </bottom>
      <diagonal/>
    </border>
    <border>
      <left/>
      <right style="thin">
        <color theme="0"/>
      </right>
      <top style="thin">
        <color theme="0"/>
      </top>
      <bottom style="thin">
        <color rgb="FFD9EAF7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0" xfId="0" applyFont="1"/>
    <xf numFmtId="0" fontId="2" fillId="12" borderId="0" xfId="0" applyFont="1" applyFill="1" applyAlignment="1">
      <alignment vertical="center" wrapText="1"/>
    </xf>
    <xf numFmtId="0" fontId="2" fillId="12" borderId="1" xfId="0" applyFont="1" applyFill="1" applyBorder="1" applyAlignment="1">
      <alignment vertical="center" wrapText="1"/>
    </xf>
    <xf numFmtId="0" fontId="3" fillId="12" borderId="1" xfId="0" applyFont="1" applyFill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165" fontId="2" fillId="12" borderId="1" xfId="0" applyNumberFormat="1" applyFont="1" applyFill="1" applyBorder="1" applyAlignment="1">
      <alignment vertical="center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wrapText="1"/>
    </xf>
    <xf numFmtId="2" fontId="2" fillId="0" borderId="0" xfId="0" applyNumberFormat="1" applyFont="1" applyAlignment="1">
      <alignment wrapText="1"/>
    </xf>
    <xf numFmtId="165" fontId="2" fillId="0" borderId="3" xfId="0" applyNumberFormat="1" applyFont="1" applyBorder="1" applyAlignment="1">
      <alignment wrapText="1"/>
    </xf>
    <xf numFmtId="0" fontId="8" fillId="0" borderId="0" xfId="0" applyFont="1"/>
    <xf numFmtId="0" fontId="2" fillId="12" borderId="0" xfId="0" applyFont="1" applyFill="1" applyAlignment="1">
      <alignment wrapText="1"/>
    </xf>
    <xf numFmtId="0" fontId="5" fillId="12" borderId="4" xfId="0" applyFont="1" applyFill="1" applyBorder="1" applyAlignment="1">
      <alignment vertical="center" wrapText="1"/>
    </xf>
    <xf numFmtId="0" fontId="6" fillId="12" borderId="4" xfId="0" applyFont="1" applyFill="1" applyBorder="1" applyAlignment="1">
      <alignment vertical="center" wrapText="1"/>
    </xf>
    <xf numFmtId="0" fontId="2" fillId="0" borderId="4" xfId="0" applyFont="1" applyBorder="1"/>
    <xf numFmtId="0" fontId="2" fillId="0" borderId="4" xfId="0" applyFont="1" applyBorder="1" applyAlignment="1">
      <alignment wrapText="1"/>
    </xf>
    <xf numFmtId="164" fontId="2" fillId="0" borderId="4" xfId="0" applyNumberFormat="1" applyFont="1" applyBorder="1" applyAlignment="1">
      <alignment wrapText="1"/>
    </xf>
    <xf numFmtId="2" fontId="2" fillId="0" borderId="4" xfId="0" applyNumberFormat="1" applyFont="1" applyBorder="1" applyAlignment="1">
      <alignment wrapText="1"/>
    </xf>
    <xf numFmtId="0" fontId="6" fillId="12" borderId="11" xfId="0" applyFont="1" applyFill="1" applyBorder="1" applyAlignment="1">
      <alignment vertical="center" wrapText="1"/>
    </xf>
    <xf numFmtId="165" fontId="2" fillId="0" borderId="11" xfId="0" applyNumberFormat="1" applyFont="1" applyBorder="1" applyAlignment="1">
      <alignment wrapText="1"/>
    </xf>
    <xf numFmtId="0" fontId="8" fillId="0" borderId="4" xfId="0" applyFont="1" applyBorder="1"/>
    <xf numFmtId="0" fontId="16" fillId="5" borderId="1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164" fontId="13" fillId="7" borderId="11" xfId="0" applyNumberFormat="1" applyFont="1" applyFill="1" applyBorder="1" applyAlignment="1">
      <alignment horizontal="center" vertical="center" wrapText="1"/>
    </xf>
    <xf numFmtId="0" fontId="13" fillId="7" borderId="13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left" vertical="center" wrapText="1"/>
    </xf>
    <xf numFmtId="0" fontId="24" fillId="0" borderId="15" xfId="0" applyFont="1" applyBorder="1" applyAlignment="1">
      <alignment horizontal="left" vertical="center" wrapText="1"/>
    </xf>
    <xf numFmtId="0" fontId="24" fillId="0" borderId="16" xfId="0" applyFont="1" applyBorder="1" applyAlignment="1">
      <alignment horizontal="left" vertical="center" wrapText="1"/>
    </xf>
    <xf numFmtId="0" fontId="23" fillId="0" borderId="14" xfId="0" applyFont="1" applyBorder="1" applyAlignment="1">
      <alignment horizontal="left" vertical="center" wrapText="1"/>
    </xf>
    <xf numFmtId="0" fontId="23" fillId="0" borderId="15" xfId="0" applyFont="1" applyBorder="1" applyAlignment="1">
      <alignment horizontal="left" vertical="center" wrapText="1"/>
    </xf>
    <xf numFmtId="0" fontId="14" fillId="0" borderId="16" xfId="0" applyFont="1" applyBorder="1" applyAlignment="1">
      <alignment vertical="center" wrapText="1"/>
    </xf>
    <xf numFmtId="1" fontId="23" fillId="6" borderId="14" xfId="0" applyNumberFormat="1" applyFont="1" applyFill="1" applyBorder="1" applyAlignment="1">
      <alignment horizontal="center" vertical="center" wrapText="1"/>
    </xf>
    <xf numFmtId="1" fontId="23" fillId="6" borderId="15" xfId="0" applyNumberFormat="1" applyFont="1" applyFill="1" applyBorder="1" applyAlignment="1">
      <alignment horizontal="center" vertical="center" wrapText="1"/>
    </xf>
    <xf numFmtId="2" fontId="23" fillId="6" borderId="15" xfId="0" applyNumberFormat="1" applyFont="1" applyFill="1" applyBorder="1" applyAlignment="1">
      <alignment horizontal="center" vertical="center" wrapText="1"/>
    </xf>
    <xf numFmtId="2" fontId="23" fillId="6" borderId="16" xfId="0" applyNumberFormat="1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3" fillId="10" borderId="11" xfId="0" applyFont="1" applyFill="1" applyBorder="1" applyAlignment="1">
      <alignment vertical="center" wrapText="1"/>
    </xf>
    <xf numFmtId="0" fontId="25" fillId="10" borderId="12" xfId="0" applyFont="1" applyFill="1" applyBorder="1" applyAlignment="1">
      <alignment vertical="center" wrapText="1"/>
    </xf>
    <xf numFmtId="165" fontId="19" fillId="10" borderId="12" xfId="0" applyNumberFormat="1" applyFont="1" applyFill="1" applyBorder="1" applyAlignment="1">
      <alignment horizontal="center" vertical="center" wrapText="1"/>
    </xf>
    <xf numFmtId="2" fontId="25" fillId="10" borderId="13" xfId="0" applyNumberFormat="1" applyFont="1" applyFill="1" applyBorder="1" applyAlignment="1">
      <alignment vertical="center" wrapText="1"/>
    </xf>
    <xf numFmtId="0" fontId="13" fillId="3" borderId="11" xfId="0" applyFont="1" applyFill="1" applyBorder="1" applyAlignment="1">
      <alignment vertical="center" wrapText="1"/>
    </xf>
    <xf numFmtId="0" fontId="25" fillId="3" borderId="12" xfId="0" applyFont="1" applyFill="1" applyBorder="1" applyAlignment="1">
      <alignment vertical="center" wrapText="1"/>
    </xf>
    <xf numFmtId="165" fontId="19" fillId="3" borderId="12" xfId="0" applyNumberFormat="1" applyFont="1" applyFill="1" applyBorder="1" applyAlignment="1">
      <alignment horizontal="center" vertical="center" wrapText="1"/>
    </xf>
    <xf numFmtId="2" fontId="25" fillId="3" borderId="13" xfId="0" applyNumberFormat="1" applyFont="1" applyFill="1" applyBorder="1" applyAlignment="1">
      <alignment vertical="center" wrapText="1"/>
    </xf>
    <xf numFmtId="0" fontId="13" fillId="7" borderId="11" xfId="0" applyFont="1" applyFill="1" applyBorder="1" applyAlignment="1">
      <alignment vertical="center" wrapText="1"/>
    </xf>
    <xf numFmtId="0" fontId="2" fillId="12" borderId="0" xfId="0" applyFont="1" applyFill="1"/>
    <xf numFmtId="0" fontId="16" fillId="5" borderId="4" xfId="0" applyFont="1" applyFill="1" applyBorder="1" applyAlignment="1">
      <alignment horizontal="center" vertical="center" wrapText="1"/>
    </xf>
    <xf numFmtId="165" fontId="19" fillId="7" borderId="4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164" fontId="15" fillId="3" borderId="8" xfId="0" applyNumberFormat="1" applyFont="1" applyFill="1" applyBorder="1" applyAlignment="1">
      <alignment horizontal="center" vertical="center" wrapText="1"/>
    </xf>
    <xf numFmtId="164" fontId="15" fillId="3" borderId="1" xfId="0" applyNumberFormat="1" applyFont="1" applyFill="1" applyBorder="1" applyAlignment="1">
      <alignment horizontal="center" vertical="center" wrapText="1"/>
    </xf>
    <xf numFmtId="0" fontId="15" fillId="3" borderId="25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5" borderId="26" xfId="0" applyFont="1" applyFill="1" applyBorder="1" applyAlignment="1">
      <alignment horizontal="center" vertical="center" wrapText="1"/>
    </xf>
    <xf numFmtId="0" fontId="16" fillId="5" borderId="27" xfId="0" applyFont="1" applyFill="1" applyBorder="1" applyAlignment="1">
      <alignment horizontal="center" vertical="center" wrapText="1"/>
    </xf>
    <xf numFmtId="0" fontId="16" fillId="5" borderId="28" xfId="0" applyFont="1" applyFill="1" applyBorder="1" applyAlignment="1">
      <alignment horizontal="center" vertical="center" wrapText="1"/>
    </xf>
    <xf numFmtId="0" fontId="18" fillId="7" borderId="8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8" fillId="7" borderId="9" xfId="0" applyFont="1" applyFill="1" applyBorder="1" applyAlignment="1">
      <alignment horizontal="center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left" vertical="center" wrapText="1"/>
    </xf>
    <xf numFmtId="0" fontId="12" fillId="4" borderId="12" xfId="0" applyFont="1" applyFill="1" applyBorder="1" applyAlignment="1">
      <alignment horizontal="left" vertical="center" wrapText="1"/>
    </xf>
    <xf numFmtId="0" fontId="26" fillId="12" borderId="11" xfId="0" applyFont="1" applyFill="1" applyBorder="1" applyAlignment="1">
      <alignment horizontal="left" vertical="center" wrapText="1"/>
    </xf>
    <xf numFmtId="0" fontId="26" fillId="12" borderId="12" xfId="0" applyFont="1" applyFill="1" applyBorder="1" applyAlignment="1">
      <alignment horizontal="left" vertical="center" wrapText="1"/>
    </xf>
    <xf numFmtId="0" fontId="26" fillId="12" borderId="13" xfId="0" applyFont="1" applyFill="1" applyBorder="1" applyAlignment="1">
      <alignment horizontal="left" vertical="center" wrapText="1"/>
    </xf>
    <xf numFmtId="0" fontId="21" fillId="11" borderId="11" xfId="0" applyFont="1" applyFill="1" applyBorder="1" applyAlignment="1">
      <alignment vertical="center" wrapText="1"/>
    </xf>
    <xf numFmtId="0" fontId="21" fillId="11" borderId="12" xfId="0" applyFont="1" applyFill="1" applyBorder="1" applyAlignment="1">
      <alignment vertical="center" wrapText="1"/>
    </xf>
    <xf numFmtId="0" fontId="21" fillId="11" borderId="13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0" fillId="3" borderId="17" xfId="0" applyFont="1" applyFill="1" applyBorder="1" applyAlignment="1">
      <alignment horizontal="left" vertical="center" wrapText="1"/>
    </xf>
    <xf numFmtId="0" fontId="10" fillId="3" borderId="18" xfId="0" applyFont="1" applyFill="1" applyBorder="1" applyAlignment="1">
      <alignment horizontal="left" vertical="center" wrapText="1"/>
    </xf>
    <xf numFmtId="0" fontId="10" fillId="3" borderId="19" xfId="0" applyFont="1" applyFill="1" applyBorder="1" applyAlignment="1">
      <alignment horizontal="left" vertical="center" wrapText="1"/>
    </xf>
    <xf numFmtId="0" fontId="12" fillId="4" borderId="13" xfId="0" applyFont="1" applyFill="1" applyBorder="1" applyAlignment="1">
      <alignment horizontal="left" vertical="center" wrapText="1"/>
    </xf>
    <xf numFmtId="0" fontId="9" fillId="3" borderId="20" xfId="0" applyFont="1" applyFill="1" applyBorder="1" applyAlignment="1">
      <alignment horizontal="left" vertical="center" wrapText="1"/>
    </xf>
    <xf numFmtId="0" fontId="7" fillId="3" borderId="21" xfId="0" applyFont="1" applyFill="1" applyBorder="1" applyAlignment="1">
      <alignment horizontal="left" vertical="center" wrapText="1"/>
    </xf>
    <xf numFmtId="0" fontId="7" fillId="3" borderId="22" xfId="0" applyFont="1" applyFill="1" applyBorder="1" applyAlignment="1">
      <alignment horizontal="left" vertical="center" wrapText="1"/>
    </xf>
    <xf numFmtId="0" fontId="9" fillId="3" borderId="21" xfId="0" applyFont="1" applyFill="1" applyBorder="1" applyAlignment="1">
      <alignment horizontal="left" vertical="center" wrapText="1"/>
    </xf>
    <xf numFmtId="0" fontId="9" fillId="3" borderId="22" xfId="0" applyFont="1" applyFill="1" applyBorder="1" applyAlignment="1">
      <alignment horizontal="left" vertical="center" wrapText="1"/>
    </xf>
    <xf numFmtId="0" fontId="9" fillId="3" borderId="23" xfId="0" applyFont="1" applyFill="1" applyBorder="1" applyAlignment="1">
      <alignment horizontal="left" vertical="center" wrapText="1"/>
    </xf>
    <xf numFmtId="0" fontId="9" fillId="3" borderId="24" xfId="0" applyFont="1" applyFill="1" applyBorder="1" applyAlignment="1">
      <alignment horizontal="left" vertical="center" wrapText="1"/>
    </xf>
    <xf numFmtId="0" fontId="17" fillId="3" borderId="5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2" fontId="17" fillId="3" borderId="9" xfId="0" applyNumberFormat="1" applyFont="1" applyFill="1" applyBorder="1" applyAlignment="1">
      <alignment horizontal="center" vertical="center" wrapText="1"/>
    </xf>
    <xf numFmtId="165" fontId="17" fillId="3" borderId="10" xfId="0" applyNumberFormat="1" applyFont="1" applyFill="1" applyBorder="1" applyAlignment="1">
      <alignment horizontal="center" vertical="center" wrapText="1"/>
    </xf>
    <xf numFmtId="0" fontId="17" fillId="3" borderId="10" xfId="0" applyFont="1" applyFill="1" applyBorder="1" applyAlignment="1">
      <alignment horizontal="center" vertical="center" wrapText="1"/>
    </xf>
    <xf numFmtId="0" fontId="13" fillId="7" borderId="11" xfId="0" applyFont="1" applyFill="1" applyBorder="1" applyAlignment="1">
      <alignment horizontal="left" vertical="center" wrapText="1"/>
    </xf>
    <xf numFmtId="0" fontId="13" fillId="7" borderId="13" xfId="0" applyFont="1" applyFill="1" applyBorder="1" applyAlignment="1">
      <alignment horizontal="left" vertical="center" wrapText="1"/>
    </xf>
    <xf numFmtId="166" fontId="20" fillId="8" borderId="11" xfId="0" applyNumberFormat="1" applyFont="1" applyFill="1" applyBorder="1" applyAlignment="1">
      <alignment horizontal="center" vertical="center" wrapText="1"/>
    </xf>
    <xf numFmtId="0" fontId="20" fillId="8" borderId="13" xfId="0" applyFont="1" applyFill="1" applyBorder="1" applyAlignment="1">
      <alignment horizontal="center" vertical="center" wrapText="1"/>
    </xf>
    <xf numFmtId="0" fontId="14" fillId="9" borderId="5" xfId="0" applyFont="1" applyFill="1" applyBorder="1" applyAlignment="1">
      <alignment horizontal="center" vertical="center" wrapText="1"/>
    </xf>
    <xf numFmtId="0" fontId="14" fillId="9" borderId="7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6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3" fillId="7" borderId="12" xfId="0" applyFont="1" applyFill="1" applyBorder="1" applyAlignment="1">
      <alignment horizontal="left" vertical="center" wrapText="1"/>
    </xf>
  </cellXfs>
  <cellStyles count="1">
    <cellStyle name="Normal" xfId="0" builtinId="0"/>
  </cellStyles>
  <dxfs count="3">
    <dxf>
      <font>
        <b/>
        <color rgb="FF6B7280"/>
      </font>
      <fill>
        <patternFill>
          <bgColor rgb="FFF3F4F6"/>
        </patternFill>
      </fill>
    </dxf>
    <dxf>
      <font>
        <b/>
        <color rgb="FF9C5700"/>
      </font>
      <fill>
        <patternFill>
          <bgColor rgb="FFFCE4D6"/>
        </patternFill>
      </fill>
    </dxf>
    <dxf>
      <font>
        <b/>
        <color rgb="FF9C0006"/>
      </font>
      <fill>
        <patternFill>
          <bgColor rgb="FFF4CCCC"/>
        </patternFill>
      </fill>
    </dxf>
  </dxfs>
  <tableStyles count="0" defaultTableStyle="TableStyleMedium2" defaultPivotStyle="PivotStyleLight16"/>
  <colors>
    <mruColors>
      <color rgb="FFD9EAF7"/>
      <color rgb="FFEEF5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22"/>
  <sheetViews>
    <sheetView zoomScale="112" workbookViewId="0">
      <selection sqref="A1:G1"/>
    </sheetView>
  </sheetViews>
  <sheetFormatPr baseColWidth="10" defaultColWidth="8.83203125" defaultRowHeight="14"/>
  <cols>
    <col min="1" max="1" width="24.1640625" style="1" customWidth="1"/>
    <col min="2" max="2" width="13" style="1" customWidth="1"/>
    <col min="3" max="3" width="36.33203125" style="1" customWidth="1"/>
    <col min="4" max="4" width="3" style="1" customWidth="1"/>
    <col min="5" max="6" width="20" style="1" customWidth="1"/>
    <col min="7" max="7" width="26.5" style="1" customWidth="1"/>
    <col min="8" max="16384" width="8.83203125" style="1"/>
  </cols>
  <sheetData>
    <row r="1" spans="1:8" ht="45.25" customHeight="1">
      <c r="A1" s="78" t="s">
        <v>62</v>
      </c>
      <c r="B1" s="79"/>
      <c r="C1" s="79"/>
      <c r="D1" s="79"/>
      <c r="E1" s="79"/>
      <c r="F1" s="79"/>
      <c r="G1" s="80"/>
      <c r="H1" s="16"/>
    </row>
    <row r="2" spans="1:8" s="12" customFormat="1" ht="20" customHeight="1">
      <c r="A2" s="81" t="s">
        <v>22</v>
      </c>
      <c r="B2" s="82"/>
      <c r="C2" s="82"/>
      <c r="D2" s="82"/>
      <c r="E2" s="82"/>
      <c r="F2" s="82"/>
      <c r="G2" s="83"/>
      <c r="H2" s="22"/>
    </row>
    <row r="3" spans="1:8" s="12" customFormat="1" ht="20" customHeight="1">
      <c r="A3" s="85" t="s">
        <v>58</v>
      </c>
      <c r="B3" s="86"/>
      <c r="C3" s="86"/>
      <c r="D3" s="86"/>
      <c r="E3" s="86"/>
      <c r="F3" s="86"/>
      <c r="G3" s="87"/>
      <c r="H3" s="22"/>
    </row>
    <row r="4" spans="1:8" s="12" customFormat="1" ht="35" customHeight="1">
      <c r="A4" s="85" t="s">
        <v>23</v>
      </c>
      <c r="B4" s="88"/>
      <c r="C4" s="88"/>
      <c r="D4" s="88"/>
      <c r="E4" s="88"/>
      <c r="F4" s="88"/>
      <c r="G4" s="89"/>
      <c r="H4" s="22"/>
    </row>
    <row r="5" spans="1:8" s="12" customFormat="1" ht="35" customHeight="1">
      <c r="A5" s="90" t="s">
        <v>59</v>
      </c>
      <c r="B5" s="90"/>
      <c r="C5" s="90"/>
      <c r="D5" s="90"/>
      <c r="E5" s="90"/>
      <c r="F5" s="90"/>
      <c r="G5" s="91"/>
      <c r="H5" s="22"/>
    </row>
    <row r="6" spans="1:8" ht="5" customHeight="1">
      <c r="A6" s="2"/>
      <c r="B6" s="2"/>
      <c r="C6" s="3"/>
      <c r="D6" s="3"/>
      <c r="E6" s="3"/>
      <c r="F6" s="2"/>
      <c r="G6" s="3"/>
      <c r="H6" s="16"/>
    </row>
    <row r="7" spans="1:8" ht="35" customHeight="1">
      <c r="A7" s="70" t="s">
        <v>29</v>
      </c>
      <c r="B7" s="71"/>
      <c r="C7" s="84"/>
      <c r="D7" s="3"/>
      <c r="E7" s="70" t="s">
        <v>30</v>
      </c>
      <c r="F7" s="71"/>
      <c r="G7" s="71"/>
      <c r="H7" s="16"/>
    </row>
    <row r="8" spans="1:8" ht="35" customHeight="1">
      <c r="A8" s="52" t="s">
        <v>0</v>
      </c>
      <c r="B8" s="23" t="s">
        <v>1</v>
      </c>
      <c r="C8" s="52" t="s">
        <v>2</v>
      </c>
      <c r="D8" s="3"/>
      <c r="E8" s="103" t="s">
        <v>28</v>
      </c>
      <c r="F8" s="104" t="s">
        <v>3</v>
      </c>
      <c r="G8" s="104" t="s">
        <v>4</v>
      </c>
      <c r="H8" s="16"/>
    </row>
    <row r="9" spans="1:8" ht="55" customHeight="1">
      <c r="A9" s="32" t="s">
        <v>37</v>
      </c>
      <c r="B9" s="35">
        <v>23</v>
      </c>
      <c r="C9" s="29" t="s">
        <v>24</v>
      </c>
      <c r="D9" s="3"/>
      <c r="E9" s="58">
        <f>IF(E15="Full model (FMA-LE + SPPB + TUG + Chronicity)",112.69+0.95702*$B$9-5.6389*$B$10-3.1572*$B$11-1.0128*$B$12,IF(E15="Reduced model 1 (SPPB + TUG + Chronicity)",137.71-5.0545*$B$10-3.744*$B$11-1.0062*$B$12,IF(E15="Reduced model 2 (TUG + Chronicity)",66.03-2.0721*$B$11-0.6345*$B$12,IF(E15="Reduced model 3 (FMA-LE + TUG + Chronicity)",50.738-0.43935*$B$9-1.714*$B$11-0.61777*$B$12,IF(E15="Reduced model 4 (FMA-LE + SPPB + Chronicity)",3.6878+2.2024*$B$9-2.181*$B$10-0.28523*$B$12,IF(E15="Reduced model 5 (FMA-LE + Chronicity)",-2.8283+1.6183*$B$9-0.25169*$B$12,IF(E15="Reduced model 6 (SPPB + Chronicity)",18.142+1.5439*$B$10+0.14513*$B$12,"—")))))))</f>
        <v>20.986492000000005</v>
      </c>
      <c r="F9" s="59">
        <v>31.5</v>
      </c>
      <c r="G9" s="60" t="s">
        <v>5</v>
      </c>
      <c r="H9" s="16"/>
    </row>
    <row r="10" spans="1:8" ht="40" customHeight="1">
      <c r="A10" s="33" t="s">
        <v>36</v>
      </c>
      <c r="B10" s="36">
        <v>10</v>
      </c>
      <c r="C10" s="30" t="s">
        <v>25</v>
      </c>
      <c r="D10" s="3"/>
      <c r="E10" s="61" t="s">
        <v>6</v>
      </c>
      <c r="F10" s="62"/>
      <c r="G10" s="60" t="s">
        <v>7</v>
      </c>
      <c r="H10" s="16"/>
    </row>
    <row r="11" spans="1:8" ht="35" customHeight="1">
      <c r="A11" s="33" t="s">
        <v>35</v>
      </c>
      <c r="B11" s="37">
        <v>16.04</v>
      </c>
      <c r="C11" s="30" t="s">
        <v>26</v>
      </c>
      <c r="D11" s="3"/>
      <c r="E11" s="63" t="s">
        <v>8</v>
      </c>
      <c r="F11" s="64"/>
      <c r="G11" s="65" t="s">
        <v>9</v>
      </c>
      <c r="H11" s="16"/>
    </row>
    <row r="12" spans="1:8" ht="40" customHeight="1">
      <c r="A12" s="34" t="s">
        <v>34</v>
      </c>
      <c r="B12" s="38">
        <v>6.6</v>
      </c>
      <c r="C12" s="31" t="s">
        <v>27</v>
      </c>
      <c r="D12" s="3"/>
      <c r="E12" s="66" t="str">
        <f>IF(NOT(ISNUMBER(E9)),"Awaiting inputs",IF(E9&lt;=$B$15,"Severe propulsion impairment","Mild propulsion impairment"))</f>
        <v>Severe propulsion impairment</v>
      </c>
      <c r="F12" s="67"/>
      <c r="G12" s="67"/>
      <c r="H12" s="16"/>
    </row>
    <row r="13" spans="1:8" ht="20" customHeight="1">
      <c r="A13" s="75" t="s">
        <v>38</v>
      </c>
      <c r="B13" s="76"/>
      <c r="C13" s="77"/>
      <c r="D13" s="3"/>
      <c r="E13" s="68"/>
      <c r="F13" s="69"/>
      <c r="G13" s="69"/>
      <c r="H13" s="16"/>
    </row>
    <row r="14" spans="1:8" ht="35" customHeight="1">
      <c r="A14" s="70" t="s">
        <v>31</v>
      </c>
      <c r="B14" s="71"/>
      <c r="C14" s="84"/>
      <c r="D14" s="4"/>
      <c r="E14" s="70" t="s">
        <v>32</v>
      </c>
      <c r="F14" s="71"/>
      <c r="G14" s="71"/>
      <c r="H14" s="16"/>
    </row>
    <row r="15" spans="1:8" ht="35" customHeight="1">
      <c r="A15" s="24" t="s">
        <v>10</v>
      </c>
      <c r="B15" s="25">
        <v>31.5</v>
      </c>
      <c r="C15" s="26" t="s">
        <v>5</v>
      </c>
      <c r="D15" s="5"/>
      <c r="E15" s="92" t="str">
        <f>IF(AND(ISNUMBER($B$9),ISNUMBER($B$10),ISNUMBER($B$11),ISNUMBER($B$12)),"Full model (FMA-LE + SPPB + TUG + Chronicity)",IF(AND(ISNUMBER($B$10),ISNUMBER($B$11),ISNUMBER($B$12)),"Reduced model 1 (SPPB + TUG + Chronicity)",IF(AND(ISNUMBER($B$11),ISNUMBER($B$12)),"Reduced model 2 (TUG + Chronicity)",IF(AND(ISNUMBER($B$9),ISNUMBER($B$11),ISNUMBER($B$12)),"Reduced model 3 (FMA-LE + TUG + Chronicity)",IF(AND(ISNUMBER($B$9),ISNUMBER($B$10),ISNUMBER($B$12)),"Reduced model 4 (FMA-LE + SPPB + Chronicity)",IF(AND(ISNUMBER($B$9),ISNUMBER($B$12)),"Reduced model 5 (FMA-LE + Chronicity)",IF(AND(ISNUMBER($B$10),ISNUMBER($B$12)),"Reduced model 6 (SPPB + Chronicity)","Insufficient inputs")))))))</f>
        <v>Full model (FMA-LE + SPPB + TUG + Chronicity)</v>
      </c>
      <c r="F15" s="93"/>
      <c r="G15" s="93"/>
      <c r="H15" s="16"/>
    </row>
    <row r="16" spans="1:8" ht="35" customHeight="1">
      <c r="A16" s="27" t="s">
        <v>11</v>
      </c>
      <c r="B16" s="99" t="s">
        <v>7</v>
      </c>
      <c r="C16" s="100"/>
      <c r="D16" s="6"/>
      <c r="E16" s="94"/>
      <c r="F16" s="95"/>
      <c r="G16" s="96"/>
      <c r="H16" s="16"/>
    </row>
    <row r="17" spans="1:8" ht="35" customHeight="1">
      <c r="A17" s="28" t="s">
        <v>12</v>
      </c>
      <c r="B17" s="101" t="s">
        <v>9</v>
      </c>
      <c r="C17" s="102"/>
      <c r="D17" s="3"/>
      <c r="E17" s="97" t="s">
        <v>33</v>
      </c>
      <c r="F17" s="98"/>
      <c r="G17" s="53">
        <f>IF(E15="Full model (FMA-LE + SPPB + TUG + Chronicity)",84.8%,IF(E15="Reduced model 1 (SPPB + TUG + Chronicity)",87.9%,IF(E15="Reduced model 2 (TUG + Chronicity)",78.8%,IF(E15="Reduced model 3 (FMA-LE + TUG + Chronicity)",72.7%,IF(E15="Reduced model 4 (FMA-LE + SPPB + Chronicity)",69.7%,IF(E15="Reduced model 5 (FMA-LE + Chronicity)",66.7%,IF(E15="Reduced model 6 (SPPB + Chronicity)",63.6%,"")))))))</f>
        <v>0.84799999999999998</v>
      </c>
      <c r="H17" s="16"/>
    </row>
    <row r="18" spans="1:8" ht="10.75" customHeight="1">
      <c r="A18" s="14"/>
      <c r="B18" s="15"/>
      <c r="C18" s="15"/>
      <c r="D18" s="15"/>
      <c r="E18" s="15"/>
      <c r="F18" s="15"/>
      <c r="G18" s="20"/>
      <c r="H18" s="16"/>
    </row>
    <row r="19" spans="1:8" s="55" customFormat="1" ht="20" customHeight="1">
      <c r="A19" s="72" t="s">
        <v>61</v>
      </c>
      <c r="B19" s="73"/>
      <c r="C19" s="73"/>
      <c r="D19" s="73"/>
      <c r="E19" s="73"/>
      <c r="F19" s="73"/>
      <c r="G19" s="74"/>
      <c r="H19" s="54"/>
    </row>
    <row r="20" spans="1:8" s="57" customFormat="1" ht="20" customHeight="1">
      <c r="A20" s="72" t="s">
        <v>60</v>
      </c>
      <c r="B20" s="73"/>
      <c r="C20" s="73"/>
      <c r="D20" s="73"/>
      <c r="E20" s="73"/>
      <c r="F20" s="73"/>
      <c r="G20" s="74"/>
      <c r="H20" s="56"/>
    </row>
    <row r="21" spans="1:8">
      <c r="A21" s="17"/>
      <c r="B21" s="17"/>
      <c r="C21" s="18"/>
      <c r="D21" s="17"/>
      <c r="E21" s="19"/>
      <c r="F21" s="19"/>
      <c r="G21" s="21"/>
      <c r="H21" s="16"/>
    </row>
    <row r="22" spans="1:8">
      <c r="A22" s="7"/>
      <c r="B22" s="8"/>
      <c r="C22" s="9"/>
      <c r="D22" s="8"/>
      <c r="E22" s="10"/>
      <c r="F22" s="10"/>
      <c r="G22" s="11"/>
    </row>
  </sheetData>
  <mergeCells count="20">
    <mergeCell ref="A20:G20"/>
    <mergeCell ref="A13:C13"/>
    <mergeCell ref="A1:G1"/>
    <mergeCell ref="A2:G2"/>
    <mergeCell ref="A7:C7"/>
    <mergeCell ref="E7:G7"/>
    <mergeCell ref="A3:G3"/>
    <mergeCell ref="A4:G4"/>
    <mergeCell ref="A5:G5"/>
    <mergeCell ref="E15:G16"/>
    <mergeCell ref="E17:F17"/>
    <mergeCell ref="A14:C14"/>
    <mergeCell ref="B16:C16"/>
    <mergeCell ref="B17:C17"/>
    <mergeCell ref="E8:G8"/>
    <mergeCell ref="E9:G10"/>
    <mergeCell ref="E11:G11"/>
    <mergeCell ref="E12:G13"/>
    <mergeCell ref="E14:G14"/>
    <mergeCell ref="A19:G19"/>
  </mergeCells>
  <conditionalFormatting sqref="E12:G13">
    <cfRule type="expression" dxfId="2" priority="8">
      <formula>$E$12="Severe propulsion impairment"</formula>
    </cfRule>
    <cfRule type="expression" dxfId="1" priority="9">
      <formula>$E$12="Mild propulsion impairment"</formula>
    </cfRule>
    <cfRule type="expression" dxfId="0" priority="10">
      <formula>$E$12="Awaiting inputs"</formula>
    </cfRule>
  </conditionalFormatting>
  <dataValidations disablePrompts="1" count="4">
    <dataValidation type="whole" allowBlank="1" showInputMessage="1" showErrorMessage="1" sqref="B9" xr:uid="{35617BBC-5479-9640-8C17-C9ECDF833CE9}">
      <formula1>0</formula1>
      <formula2>34</formula2>
    </dataValidation>
    <dataValidation type="whole" allowBlank="1" showInputMessage="1" showErrorMessage="1" sqref="B10" xr:uid="{F2E5F05C-6573-7045-8805-C2190E25A382}">
      <formula1>0</formula1>
      <formula2>12</formula2>
    </dataValidation>
    <dataValidation type="decimal" operator="greaterThan" allowBlank="1" showInputMessage="1" showErrorMessage="1" sqref="B11" xr:uid="{4F3E7340-F665-E049-9D3E-CB2FA80A734D}">
      <formula1>0</formula1>
    </dataValidation>
    <dataValidation type="decimal" operator="greaterThanOrEqual" allowBlank="1" showInputMessage="1" showErrorMessage="1" sqref="B12" xr:uid="{F7BBBC6F-5D91-0047-8CFB-1C7B29BA9DD3}">
      <formula1>0</formula1>
    </dataValidation>
  </dataValidations>
  <pageMargins left="0.7" right="0.7" top="0.75" bottom="0.75" header="0.3" footer="0.3"/>
  <pageSetup scale="75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tabSelected="1" workbookViewId="0">
      <selection activeCell="A11" sqref="A11:D11"/>
    </sheetView>
  </sheetViews>
  <sheetFormatPr baseColWidth="10" defaultColWidth="8.83203125" defaultRowHeight="14"/>
  <cols>
    <col min="1" max="1" width="22" style="1" customWidth="1"/>
    <col min="2" max="2" width="58" style="1" customWidth="1"/>
    <col min="3" max="3" width="20" style="1" customWidth="1"/>
    <col min="4" max="4" width="28" style="1" customWidth="1"/>
    <col min="5" max="16384" width="8.83203125" style="1"/>
  </cols>
  <sheetData>
    <row r="1" spans="1:5" ht="40" customHeight="1">
      <c r="A1" s="105" t="s">
        <v>57</v>
      </c>
      <c r="B1" s="106"/>
      <c r="C1" s="106"/>
      <c r="D1" s="107"/>
      <c r="E1" s="51"/>
    </row>
    <row r="2" spans="1:5" ht="1" customHeight="1">
      <c r="E2" s="51"/>
    </row>
    <row r="3" spans="1:5" ht="37.25" customHeight="1">
      <c r="A3" s="39" t="s">
        <v>13</v>
      </c>
      <c r="B3" s="40" t="s">
        <v>39</v>
      </c>
      <c r="C3" s="40" t="s">
        <v>40</v>
      </c>
      <c r="D3" s="41" t="s">
        <v>41</v>
      </c>
      <c r="E3" s="51"/>
    </row>
    <row r="4" spans="1:5" ht="50.75" customHeight="1">
      <c r="A4" s="42" t="s">
        <v>42</v>
      </c>
      <c r="B4" s="43" t="s">
        <v>49</v>
      </c>
      <c r="C4" s="44">
        <v>0.84799999999999998</v>
      </c>
      <c r="D4" s="45" t="s">
        <v>14</v>
      </c>
      <c r="E4" s="51"/>
    </row>
    <row r="5" spans="1:5" ht="50.75" customHeight="1">
      <c r="A5" s="46" t="s">
        <v>43</v>
      </c>
      <c r="B5" s="47" t="s">
        <v>50</v>
      </c>
      <c r="C5" s="48">
        <v>0.879</v>
      </c>
      <c r="D5" s="49" t="s">
        <v>15</v>
      </c>
      <c r="E5" s="51"/>
    </row>
    <row r="6" spans="1:5" ht="50.75" customHeight="1">
      <c r="A6" s="42" t="s">
        <v>44</v>
      </c>
      <c r="B6" s="43" t="s">
        <v>51</v>
      </c>
      <c r="C6" s="44">
        <v>0.78800000000000003</v>
      </c>
      <c r="D6" s="45" t="s">
        <v>16</v>
      </c>
      <c r="E6" s="51"/>
    </row>
    <row r="7" spans="1:5" ht="50.75" customHeight="1">
      <c r="A7" s="46" t="s">
        <v>45</v>
      </c>
      <c r="B7" s="47" t="s">
        <v>52</v>
      </c>
      <c r="C7" s="48">
        <v>0.72699999999999998</v>
      </c>
      <c r="D7" s="49" t="s">
        <v>17</v>
      </c>
      <c r="E7" s="51"/>
    </row>
    <row r="8" spans="1:5" ht="50.75" customHeight="1">
      <c r="A8" s="42" t="s">
        <v>46</v>
      </c>
      <c r="B8" s="43" t="s">
        <v>53</v>
      </c>
      <c r="C8" s="44">
        <v>0.69699999999999995</v>
      </c>
      <c r="D8" s="45" t="s">
        <v>18</v>
      </c>
      <c r="E8" s="51"/>
    </row>
    <row r="9" spans="1:5" ht="50.75" customHeight="1">
      <c r="A9" s="46" t="s">
        <v>47</v>
      </c>
      <c r="B9" s="47" t="s">
        <v>54</v>
      </c>
      <c r="C9" s="48">
        <v>0.66700000000000004</v>
      </c>
      <c r="D9" s="49" t="s">
        <v>19</v>
      </c>
      <c r="E9" s="51"/>
    </row>
    <row r="10" spans="1:5" ht="50.75" customHeight="1">
      <c r="A10" s="42" t="s">
        <v>48</v>
      </c>
      <c r="B10" s="43" t="s">
        <v>55</v>
      </c>
      <c r="C10" s="44">
        <v>0.63600000000000001</v>
      </c>
      <c r="D10" s="45" t="s">
        <v>20</v>
      </c>
      <c r="E10" s="51"/>
    </row>
    <row r="11" spans="1:5" s="8" customFormat="1" ht="80" customHeight="1">
      <c r="A11" s="50" t="s">
        <v>21</v>
      </c>
      <c r="B11" s="108" t="s">
        <v>56</v>
      </c>
      <c r="C11" s="108"/>
      <c r="D11" s="98"/>
      <c r="E11" s="13"/>
    </row>
    <row r="12" spans="1:5">
      <c r="A12" s="51"/>
      <c r="B12" s="51"/>
      <c r="C12" s="51"/>
      <c r="D12" s="51"/>
      <c r="E12" s="51"/>
    </row>
    <row r="13" spans="1:5">
      <c r="A13" s="51"/>
      <c r="B13" s="51"/>
      <c r="C13" s="51"/>
      <c r="D13" s="51"/>
      <c r="E13" s="51"/>
    </row>
    <row r="14" spans="1:5">
      <c r="A14" s="51"/>
      <c r="B14" s="51"/>
      <c r="C14" s="51"/>
      <c r="D14" s="51"/>
      <c r="E14" s="51"/>
    </row>
  </sheetData>
  <mergeCells count="2">
    <mergeCell ref="A1:D1"/>
    <mergeCell ref="B11:D11"/>
  </mergeCells>
  <pageMargins left="0.25" right="0.25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Calculator</vt:lpstr>
      <vt:lpstr>Supporting Information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Fei, Jie</cp:lastModifiedBy>
  <cp:lastPrinted>2026-09-12T03:02:51Z</cp:lastPrinted>
  <dcterms:created xsi:type="dcterms:W3CDTF">2026-09-12T00:20:07Z</dcterms:created>
  <dcterms:modified xsi:type="dcterms:W3CDTF">2026-09-12T03:11:52Z</dcterms:modified>
</cp:coreProperties>
</file>