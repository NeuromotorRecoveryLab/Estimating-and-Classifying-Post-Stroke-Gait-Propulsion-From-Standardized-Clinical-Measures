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ushare-my.sharepoint.com/personal/jfei_bu_edu/Documents/Main Folder/03 Research/NRL/Research Materials/Research Project/Propulsion Estimation Using Clinical Measures/Propulsion Estimation Using Clinical Assessment Paper/Manuscript/v2/"/>
    </mc:Choice>
  </mc:AlternateContent>
  <xr:revisionPtr revIDLastSave="63" documentId="13_ncr:1_{C1D598C2-786F-BC49-83F9-BC4F278F57E3}" xr6:coauthVersionLast="47" xr6:coauthVersionMax="47" xr10:uidLastSave="{ADCF051D-449C-D44F-8B6A-C16E1FC80C0B}"/>
  <bookViews>
    <workbookView xWindow="0" yWindow="700" windowWidth="29400" windowHeight="17400" xr2:uid="{00000000-000D-0000-FFFF-FFFF00000000}"/>
  </bookViews>
  <sheets>
    <sheet name="Calculator" sheetId="1" r:id="rId1"/>
    <sheet name="Supporting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G17" i="1" l="1"/>
  <c r="E10" i="1"/>
  <c r="E13" i="1" s="1"/>
</calcChain>
</file>

<file path=xl/sharedStrings.xml><?xml version="1.0" encoding="utf-8"?>
<sst xmlns="http://schemas.openxmlformats.org/spreadsheetml/2006/main" count="51" uniqueCount="48">
  <si>
    <t>Assessment</t>
  </si>
  <si>
    <t>Score</t>
  </si>
  <si>
    <t>Reference</t>
  </si>
  <si>
    <t>Value</t>
  </si>
  <si>
    <t>Interpretation</t>
  </si>
  <si>
    <t>Propulsion symmetry (%)</t>
  </si>
  <si>
    <t>≤ cutoff</t>
  </si>
  <si>
    <t>Severe propulsion impairment</t>
  </si>
  <si>
    <t>Classification</t>
  </si>
  <si>
    <t>Mild propulsion impairment</t>
  </si>
  <si>
    <t>Cutoff</t>
  </si>
  <si>
    <t>≤31.5%</t>
  </si>
  <si>
    <t>&gt;31.5%</t>
  </si>
  <si>
    <t>Model</t>
  </si>
  <si>
    <t>FMA-LE, SPPB, TUG, Chronicity</t>
  </si>
  <si>
    <t>SPPB, TUG, Chronicity</t>
  </si>
  <si>
    <t>Classification cutoff</t>
  </si>
  <si>
    <t>2. The reported classification accuracy is a study-level performance summary, not a patient-specific probability or clinical diagnosis. This calculator provides an estimate and does not replace instrumented biomechanical measurement when available.</t>
  </si>
  <si>
    <t>0–34 points; Fugl-Meyer Assessment of the Lower Extremity motor function</t>
  </si>
  <si>
    <t>0–12 points; Short Physical Performance Battery</t>
  </si>
  <si>
    <t>seconds; Timed Up and Go test</t>
  </si>
  <si>
    <t>years; time since first stroke at time of clinical assessment</t>
  </si>
  <si>
    <t>Estimated propulsion symmetry</t>
  </si>
  <si>
    <t xml:space="preserve"> 1  Clinical inputs</t>
  </si>
  <si>
    <t xml:space="preserve"> 2  Estimated result</t>
  </si>
  <si>
    <t xml:space="preserve"> Classification guide</t>
  </si>
  <si>
    <t xml:space="preserve"> Selected model</t>
  </si>
  <si>
    <t xml:space="preserve"> Study classification accuracy</t>
  </si>
  <si>
    <t>Regression equation</t>
  </si>
  <si>
    <t>Classification accuracy</t>
  </si>
  <si>
    <t>Required inputs</t>
  </si>
  <si>
    <t>Full model</t>
  </si>
  <si>
    <t>Reduced model 1</t>
  </si>
  <si>
    <r>
      <t xml:space="preserve">Mild propulsion impairment: &gt;31.5%; severe propulsion impairment: ≤31.5%. </t>
    </r>
    <r>
      <rPr>
        <sz val="12"/>
        <color rgb="FF1F2937"/>
        <rFont val="Arial"/>
        <family val="2"/>
      </rPr>
      <t>Reference: Arumukhom Revi D. Advancing Accessible Movement Diagnostics and Precision Rehabilitation in Neurological Populations: From Digital Gait Estimations to Diagnostic and Predictive Biomarkers. [Doctoral dissertation]. Boston University; 2025. https://open.bu.edu/items/96c8cd84-5868-4a2f-be3c-07dc4c75a052</t>
    </r>
  </si>
  <si>
    <t>Supporting Information</t>
  </si>
  <si>
    <t>Version: v1.0 (September 2026)</t>
  </si>
  <si>
    <t>Study reference: Fei J, Wang R, Awad LN. [Title]. [Journal]. 2026. doi:TBD</t>
  </si>
  <si>
    <t>Post-Stroke Propulsion Impairment Calculator v1.0</t>
  </si>
  <si>
    <t>Propulsion symmetry = 112.69 + 0.95702 × FMA-LE − 5.6389 × SPPB − 3.1572 × TUG − 1.0128 × Chronicity</t>
  </si>
  <si>
    <t>Propulsion symmetry = 137.71 − 5.0545 × SPPB − 3.744 × TUG − 1.0062 × Chronicity</t>
  </si>
  <si>
    <t>Instructions:</t>
  </si>
  <si>
    <t>1. Enter SPPB, TUG, and Chronicity (required), and FMA-LE when available. The calculator uses the Full model when all four predictors are entered and Reduced model 1 when FMA-LE is not entered.</t>
  </si>
  <si>
    <t>3. Propulsion symmetry estimates outside the physiologically plausible range (0–100%) indicate model extrapolation and should be interpreted with caution.</t>
  </si>
  <si>
    <t>TUG</t>
  </si>
  <si>
    <t>Chronicity *</t>
  </si>
  <si>
    <t>SPPB</t>
  </si>
  <si>
    <t>FMA-LE</t>
  </si>
  <si>
    <t>4. Example: FMA-LE = 23, SPPB = 10, TUG = 16.04, Chronicity = 6.60. The Full model estimates propulsion symmetry at 20.99% (severe propulsion impairment). The observed force-plate-derived propulsion symmetry for this participant was 21.46% (severe propulsion impairment).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</si>
</sst>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%&quot;"/>
    <numFmt numFmtId="165" formatCode="0.0%"/>
    <numFmt numFmtId="166" formatCode="0.0"/>
    <numFmt numFmtId="167" formatCode="0.00&quot;%&quot;"/>
  </numFmts>
  <fonts count="26">
    <font>
      <sz val="11"/>
      <name val="Carlito"/>
    </font>
    <font>
      <b/>
      <sz val="18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11111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b/>
      <i/>
      <sz val="12"/>
      <color rgb="FF1F2937"/>
      <name val="Arial"/>
      <family val="2"/>
    </font>
    <font>
      <sz val="12"/>
      <name val="Arial"/>
      <family val="2"/>
    </font>
    <font>
      <i/>
      <sz val="12"/>
      <color rgb="FF1F2937"/>
      <name val="Arial"/>
      <family val="2"/>
    </font>
    <font>
      <b/>
      <i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1F2937"/>
      <name val="Arial"/>
      <family val="2"/>
    </font>
    <font>
      <b/>
      <sz val="12"/>
      <color rgb="FF9C5700"/>
      <name val="Arial"/>
      <family val="2"/>
    </font>
    <font>
      <b/>
      <sz val="48"/>
      <color rgb="FF1F4E78"/>
      <name val="Arial"/>
      <family val="2"/>
    </font>
    <font>
      <b/>
      <sz val="14"/>
      <color rgb="FF1F2937"/>
      <name val="Arial"/>
      <family val="2"/>
    </font>
    <font>
      <b/>
      <sz val="16"/>
      <color rgb="FF1F2937"/>
      <name val="Arial"/>
      <family val="2"/>
    </font>
    <font>
      <b/>
      <sz val="22"/>
      <color rgb="FF1F2937"/>
      <name val="Arial"/>
      <family val="2"/>
    </font>
    <font>
      <b/>
      <sz val="12"/>
      <color rgb="FF1F4E78"/>
      <name val="Arial"/>
      <family val="2"/>
    </font>
    <font>
      <b/>
      <sz val="12"/>
      <color rgb="FF9C0006"/>
      <name val="Arial"/>
      <family val="2"/>
    </font>
    <font>
      <sz val="12"/>
      <color rgb="FF1F2937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374151"/>
      <name val="Arial"/>
      <family val="2"/>
    </font>
    <font>
      <i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7FAFC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rgb="FFEEF5FB"/>
      </bottom>
      <diagonal/>
    </border>
    <border>
      <left/>
      <right/>
      <top style="thin">
        <color theme="0"/>
      </top>
      <bottom style="thin">
        <color rgb="FFEEF5FB"/>
      </bottom>
      <diagonal/>
    </border>
    <border>
      <left/>
      <right style="thin">
        <color theme="0"/>
      </right>
      <top style="thin">
        <color theme="0"/>
      </top>
      <bottom style="thin">
        <color rgb="FFEEF5FB"/>
      </bottom>
      <diagonal/>
    </border>
    <border>
      <left style="thin">
        <color theme="0"/>
      </left>
      <right/>
      <top style="thin">
        <color rgb="FFEEF5FB"/>
      </top>
      <bottom style="thin">
        <color rgb="FFEEF5FB"/>
      </bottom>
      <diagonal/>
    </border>
    <border>
      <left/>
      <right/>
      <top style="thin">
        <color rgb="FFEEF5FB"/>
      </top>
      <bottom style="thin">
        <color rgb="FFEEF5FB"/>
      </bottom>
      <diagonal/>
    </border>
    <border>
      <left/>
      <right style="thin">
        <color theme="0"/>
      </right>
      <top style="thin">
        <color rgb="FFEEF5FB"/>
      </top>
      <bottom style="thin">
        <color rgb="FFEEF5FB"/>
      </bottom>
      <diagonal/>
    </border>
    <border>
      <left/>
      <right/>
      <top style="thin">
        <color rgb="FFEEF5FB"/>
      </top>
      <bottom/>
      <diagonal/>
    </border>
    <border>
      <left/>
      <right style="thin">
        <color theme="0"/>
      </right>
      <top style="thin">
        <color rgb="FFEEF5FB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rgb="FFD9EAF7"/>
      </bottom>
      <diagonal/>
    </border>
    <border>
      <left/>
      <right/>
      <top style="thin">
        <color theme="0"/>
      </top>
      <bottom style="thin">
        <color rgb="FFD9EAF7"/>
      </bottom>
      <diagonal/>
    </border>
    <border>
      <left/>
      <right style="thin">
        <color theme="0"/>
      </right>
      <top style="thin">
        <color theme="0"/>
      </top>
      <bottom style="thin">
        <color rgb="FFD9EAF7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11" borderId="0" xfId="0" applyFont="1" applyFill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165" fontId="2" fillId="0" borderId="3" xfId="0" applyNumberFormat="1" applyFont="1" applyBorder="1" applyAlignment="1">
      <alignment wrapText="1"/>
    </xf>
    <xf numFmtId="0" fontId="8" fillId="0" borderId="0" xfId="0" applyFont="1"/>
    <xf numFmtId="0" fontId="2" fillId="11" borderId="0" xfId="0" applyFont="1" applyFill="1" applyAlignment="1">
      <alignment wrapText="1"/>
    </xf>
    <xf numFmtId="0" fontId="5" fillId="11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2" fontId="2" fillId="0" borderId="4" xfId="0" applyNumberFormat="1" applyFont="1" applyBorder="1" applyAlignment="1">
      <alignment wrapText="1"/>
    </xf>
    <xf numFmtId="0" fontId="6" fillId="11" borderId="11" xfId="0" applyFont="1" applyFill="1" applyBorder="1" applyAlignment="1">
      <alignment vertical="center" wrapText="1"/>
    </xf>
    <xf numFmtId="165" fontId="2" fillId="0" borderId="11" xfId="0" applyNumberFormat="1" applyFont="1" applyBorder="1" applyAlignment="1">
      <alignment wrapText="1"/>
    </xf>
    <xf numFmtId="0" fontId="8" fillId="0" borderId="4" xfId="0" applyFont="1" applyBorder="1"/>
    <xf numFmtId="0" fontId="16" fillId="5" borderId="1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164" fontId="13" fillId="7" borderId="11" xfId="0" applyNumberFormat="1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1" fontId="22" fillId="6" borderId="14" xfId="0" applyNumberFormat="1" applyFont="1" applyFill="1" applyBorder="1" applyAlignment="1">
      <alignment horizontal="center" vertical="center" wrapText="1"/>
    </xf>
    <xf numFmtId="1" fontId="22" fillId="6" borderId="15" xfId="0" applyNumberFormat="1" applyFont="1" applyFill="1" applyBorder="1" applyAlignment="1">
      <alignment horizontal="center" vertical="center" wrapText="1"/>
    </xf>
    <xf numFmtId="2" fontId="22" fillId="6" borderId="15" xfId="0" applyNumberFormat="1" applyFont="1" applyFill="1" applyBorder="1" applyAlignment="1">
      <alignment horizontal="center" vertical="center" wrapText="1"/>
    </xf>
    <xf numFmtId="2" fontId="22" fillId="6" borderId="16" xfId="0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vertical="center" wrapText="1"/>
    </xf>
    <xf numFmtId="0" fontId="24" fillId="10" borderId="12" xfId="0" applyFont="1" applyFill="1" applyBorder="1" applyAlignment="1">
      <alignment vertical="center" wrapText="1"/>
    </xf>
    <xf numFmtId="165" fontId="19" fillId="10" borderId="12" xfId="0" applyNumberFormat="1" applyFont="1" applyFill="1" applyBorder="1" applyAlignment="1">
      <alignment horizontal="center" vertical="center" wrapText="1"/>
    </xf>
    <xf numFmtId="2" fontId="24" fillId="10" borderId="13" xfId="0" applyNumberFormat="1" applyFont="1" applyFill="1" applyBorder="1" applyAlignment="1">
      <alignment vertical="center" wrapText="1"/>
    </xf>
    <xf numFmtId="0" fontId="13" fillId="3" borderId="11" xfId="0" applyFont="1" applyFill="1" applyBorder="1" applyAlignment="1">
      <alignment vertical="center" wrapText="1"/>
    </xf>
    <xf numFmtId="0" fontId="24" fillId="3" borderId="12" xfId="0" applyFont="1" applyFill="1" applyBorder="1" applyAlignment="1">
      <alignment vertical="center" wrapText="1"/>
    </xf>
    <xf numFmtId="165" fontId="19" fillId="3" borderId="12" xfId="0" applyNumberFormat="1" applyFont="1" applyFill="1" applyBorder="1" applyAlignment="1">
      <alignment horizontal="center" vertical="center" wrapText="1"/>
    </xf>
    <xf numFmtId="2" fontId="24" fillId="3" borderId="13" xfId="0" applyNumberFormat="1" applyFont="1" applyFill="1" applyBorder="1" applyAlignment="1">
      <alignment vertical="center" wrapText="1"/>
    </xf>
    <xf numFmtId="0" fontId="13" fillId="7" borderId="11" xfId="0" applyFont="1" applyFill="1" applyBorder="1" applyAlignment="1">
      <alignment vertical="center" wrapText="1"/>
    </xf>
    <xf numFmtId="0" fontId="2" fillId="11" borderId="0" xfId="0" applyFont="1" applyFill="1"/>
    <xf numFmtId="0" fontId="16" fillId="5" borderId="4" xfId="0" applyFont="1" applyFill="1" applyBorder="1" applyAlignment="1">
      <alignment horizontal="center" vertical="center" wrapText="1"/>
    </xf>
    <xf numFmtId="165" fontId="19" fillId="7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left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25" fillId="11" borderId="11" xfId="0" applyFont="1" applyFill="1" applyBorder="1" applyAlignment="1">
      <alignment horizontal="left" vertical="center" wrapText="1"/>
    </xf>
    <xf numFmtId="0" fontId="25" fillId="11" borderId="12" xfId="0" applyFont="1" applyFill="1" applyBorder="1" applyAlignment="1">
      <alignment horizontal="left" vertical="center" wrapText="1"/>
    </xf>
    <xf numFmtId="0" fontId="25" fillId="11" borderId="13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3" borderId="19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2" fontId="17" fillId="3" borderId="9" xfId="0" applyNumberFormat="1" applyFont="1" applyFill="1" applyBorder="1" applyAlignment="1">
      <alignment horizontal="center" vertical="center" wrapText="1"/>
    </xf>
    <xf numFmtId="165" fontId="17" fillId="3" borderId="10" xfId="0" applyNumberFormat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left" vertical="center" wrapText="1"/>
    </xf>
    <xf numFmtId="166" fontId="20" fillId="8" borderId="11" xfId="0" applyNumberFormat="1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167" fontId="15" fillId="3" borderId="8" xfId="0" applyNumberFormat="1" applyFont="1" applyFill="1" applyBorder="1" applyAlignment="1">
      <alignment horizontal="center" vertical="center" wrapText="1"/>
    </xf>
    <xf numFmtId="167" fontId="15" fillId="3" borderId="1" xfId="0" applyNumberFormat="1" applyFont="1" applyFill="1" applyBorder="1" applyAlignment="1">
      <alignment horizontal="center" vertical="center" wrapText="1"/>
    </xf>
    <xf numFmtId="167" fontId="15" fillId="3" borderId="2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6B7280"/>
      </font>
      <fill>
        <patternFill>
          <bgColor rgb="FFF3F4F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mruColors>
      <color rgb="FFD9EAF7"/>
      <color rgb="FFEE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zoomScale="90" workbookViewId="0">
      <selection activeCell="K11" sqref="K11"/>
    </sheetView>
  </sheetViews>
  <sheetFormatPr baseColWidth="10" defaultColWidth="8.83203125" defaultRowHeight="14"/>
  <cols>
    <col min="1" max="1" width="24.1640625" style="1" customWidth="1"/>
    <col min="2" max="2" width="13" style="1" customWidth="1"/>
    <col min="3" max="3" width="36.33203125" style="1" customWidth="1"/>
    <col min="4" max="4" width="3" style="1" customWidth="1"/>
    <col min="5" max="6" width="20" style="1" customWidth="1"/>
    <col min="7" max="7" width="27" style="1" customWidth="1"/>
    <col min="8" max="16384" width="8.83203125" style="1"/>
  </cols>
  <sheetData>
    <row r="1" spans="1:8" ht="45.25" customHeight="1">
      <c r="A1" s="74" t="s">
        <v>37</v>
      </c>
      <c r="B1" s="75"/>
      <c r="C1" s="75"/>
      <c r="D1" s="75"/>
      <c r="E1" s="75"/>
      <c r="F1" s="75"/>
      <c r="G1" s="76"/>
      <c r="H1" s="16"/>
    </row>
    <row r="2" spans="1:8" s="12" customFormat="1" ht="20" customHeight="1">
      <c r="A2" s="77" t="s">
        <v>40</v>
      </c>
      <c r="B2" s="78"/>
      <c r="C2" s="78"/>
      <c r="D2" s="78"/>
      <c r="E2" s="78"/>
      <c r="F2" s="78"/>
      <c r="G2" s="79"/>
      <c r="H2" s="22"/>
    </row>
    <row r="3" spans="1:8" s="12" customFormat="1" ht="35" customHeight="1">
      <c r="A3" s="81" t="s">
        <v>41</v>
      </c>
      <c r="B3" s="82"/>
      <c r="C3" s="82"/>
      <c r="D3" s="82"/>
      <c r="E3" s="82"/>
      <c r="F3" s="82"/>
      <c r="G3" s="83"/>
      <c r="H3" s="22"/>
    </row>
    <row r="4" spans="1:8" s="12" customFormat="1" ht="35" customHeight="1">
      <c r="A4" s="81" t="s">
        <v>17</v>
      </c>
      <c r="B4" s="84"/>
      <c r="C4" s="84"/>
      <c r="D4" s="84"/>
      <c r="E4" s="84"/>
      <c r="F4" s="84"/>
      <c r="G4" s="85"/>
      <c r="H4" s="22"/>
    </row>
    <row r="5" spans="1:8" s="12" customFormat="1" ht="20" customHeight="1">
      <c r="A5" s="62" t="s">
        <v>42</v>
      </c>
      <c r="B5" s="62"/>
      <c r="C5" s="62"/>
      <c r="D5" s="62"/>
      <c r="E5" s="62"/>
      <c r="F5" s="62"/>
      <c r="G5" s="63"/>
      <c r="H5" s="22"/>
    </row>
    <row r="6" spans="1:8" s="12" customFormat="1" ht="35" customHeight="1">
      <c r="A6" s="62" t="s">
        <v>47</v>
      </c>
      <c r="B6" s="62"/>
      <c r="C6" s="62"/>
      <c r="D6" s="62"/>
      <c r="E6" s="62"/>
      <c r="F6" s="62"/>
      <c r="G6" s="63"/>
      <c r="H6" s="22"/>
    </row>
    <row r="7" spans="1:8" ht="5" customHeight="1">
      <c r="A7" s="2"/>
      <c r="B7" s="2"/>
      <c r="C7" s="3"/>
      <c r="D7" s="3"/>
      <c r="E7" s="3"/>
      <c r="F7" s="2"/>
      <c r="G7" s="3"/>
      <c r="H7" s="16"/>
    </row>
    <row r="8" spans="1:8" ht="35" customHeight="1">
      <c r="A8" s="69" t="s">
        <v>23</v>
      </c>
      <c r="B8" s="70"/>
      <c r="C8" s="80"/>
      <c r="D8" s="3"/>
      <c r="E8" s="69" t="s">
        <v>24</v>
      </c>
      <c r="F8" s="70"/>
      <c r="G8" s="70"/>
      <c r="H8" s="16"/>
    </row>
    <row r="9" spans="1:8" ht="35" customHeight="1">
      <c r="A9" s="51" t="s">
        <v>0</v>
      </c>
      <c r="B9" s="23" t="s">
        <v>1</v>
      </c>
      <c r="C9" s="51" t="s">
        <v>2</v>
      </c>
      <c r="D9" s="3"/>
      <c r="E9" s="96" t="s">
        <v>22</v>
      </c>
      <c r="F9" s="97" t="s">
        <v>3</v>
      </c>
      <c r="G9" s="97" t="s">
        <v>4</v>
      </c>
      <c r="H9" s="16"/>
    </row>
    <row r="10" spans="1:8" ht="55" customHeight="1">
      <c r="A10" s="32" t="s">
        <v>46</v>
      </c>
      <c r="B10" s="34">
        <v>23</v>
      </c>
      <c r="C10" s="29" t="s">
        <v>18</v>
      </c>
      <c r="D10" s="3"/>
      <c r="E10" s="99">
        <f>IF(E15="Full model (FMA-LE + SPPB + TUG + Chronicity)",112.69+0.95702*$B$10-5.6389*$B$11-3.1572*$B$12-1.0128*$B$13,IF(E15="Reduced model 1 (SPPB + TUG + Chronicity)",137.71-5.0545*$B$11-3.744*$B$12-1.0062*$B$13,"—"))</f>
        <v>20.986492000000005</v>
      </c>
      <c r="F10" s="100">
        <v>31.5</v>
      </c>
      <c r="G10" s="101" t="s">
        <v>5</v>
      </c>
      <c r="H10" s="16"/>
    </row>
    <row r="11" spans="1:8" ht="40" customHeight="1">
      <c r="A11" s="33" t="s">
        <v>45</v>
      </c>
      <c r="B11" s="35">
        <v>10</v>
      </c>
      <c r="C11" s="30" t="s">
        <v>19</v>
      </c>
      <c r="D11" s="3"/>
      <c r="E11" s="99" t="s">
        <v>6</v>
      </c>
      <c r="F11" s="100"/>
      <c r="G11" s="101" t="s">
        <v>7</v>
      </c>
      <c r="H11" s="16"/>
    </row>
    <row r="12" spans="1:8" ht="35" customHeight="1">
      <c r="A12" s="33" t="s">
        <v>43</v>
      </c>
      <c r="B12" s="36">
        <v>16.04</v>
      </c>
      <c r="C12" s="30" t="s">
        <v>20</v>
      </c>
      <c r="D12" s="3"/>
      <c r="E12" s="64" t="s">
        <v>8</v>
      </c>
      <c r="F12" s="65"/>
      <c r="G12" s="66" t="s">
        <v>9</v>
      </c>
      <c r="H12" s="16"/>
    </row>
    <row r="13" spans="1:8" ht="50" customHeight="1">
      <c r="A13" s="98" t="s">
        <v>44</v>
      </c>
      <c r="B13" s="37">
        <v>6.6</v>
      </c>
      <c r="C13" s="31" t="s">
        <v>21</v>
      </c>
      <c r="D13" s="3"/>
      <c r="E13" s="67" t="str">
        <f>IF(NOT(ISNUMBER(E10)),"Awaiting inputs",IF(E10&lt;=$B$15,"Severe propulsion impairment","Mild propulsion impairment"))</f>
        <v>Severe propulsion impairment</v>
      </c>
      <c r="F13" s="68"/>
      <c r="G13" s="68"/>
      <c r="H13" s="16"/>
    </row>
    <row r="14" spans="1:8" ht="35" customHeight="1">
      <c r="A14" s="69" t="s">
        <v>25</v>
      </c>
      <c r="B14" s="70"/>
      <c r="C14" s="80"/>
      <c r="D14" s="4"/>
      <c r="E14" s="69" t="s">
        <v>26</v>
      </c>
      <c r="F14" s="70"/>
      <c r="G14" s="70"/>
      <c r="H14" s="16"/>
    </row>
    <row r="15" spans="1:8" ht="35" customHeight="1">
      <c r="A15" s="24" t="s">
        <v>10</v>
      </c>
      <c r="B15" s="25">
        <v>31.5</v>
      </c>
      <c r="C15" s="26" t="s">
        <v>5</v>
      </c>
      <c r="D15" s="5"/>
      <c r="E15" s="86" t="str">
        <f>IF(AND(ISNUMBER($B$10),ISNUMBER($B$11),ISNUMBER($B$12),ISNUMBER($B$13)),"Full model (FMA-LE + SPPB + TUG + Chronicity)",IF(AND(ISNUMBER($B$11),ISNUMBER($B$12),ISNUMBER($B$13)),"Reduced model 1 (SPPB + TUG + Chronicity)","Insufficient inputs"))</f>
        <v>Full model (FMA-LE + SPPB + TUG + Chronicity)</v>
      </c>
      <c r="F15" s="87"/>
      <c r="G15" s="87"/>
      <c r="H15" s="16"/>
    </row>
    <row r="16" spans="1:8" ht="35" customHeight="1">
      <c r="A16" s="27" t="s">
        <v>11</v>
      </c>
      <c r="B16" s="92" t="s">
        <v>7</v>
      </c>
      <c r="C16" s="93"/>
      <c r="D16" s="6"/>
      <c r="E16" s="88"/>
      <c r="F16" s="89"/>
      <c r="G16" s="90"/>
      <c r="H16" s="16"/>
    </row>
    <row r="17" spans="1:8" ht="35" customHeight="1">
      <c r="A17" s="28" t="s">
        <v>12</v>
      </c>
      <c r="B17" s="94" t="s">
        <v>9</v>
      </c>
      <c r="C17" s="95"/>
      <c r="D17" s="3"/>
      <c r="E17" s="91" t="s">
        <v>27</v>
      </c>
      <c r="F17" s="61"/>
      <c r="G17" s="52">
        <f>IF(E15="Full model (FMA-LE + SPPB + TUG + Chronicity)",84.8%,IF(E15="Reduced model 1 (SPPB + TUG + Chronicity)",87.9%,""))</f>
        <v>0.84799999999999998</v>
      </c>
      <c r="H17" s="16"/>
    </row>
    <row r="18" spans="1:8" ht="10.75" customHeight="1">
      <c r="A18" s="14"/>
      <c r="B18" s="15"/>
      <c r="C18" s="15"/>
      <c r="D18" s="15"/>
      <c r="E18" s="15"/>
      <c r="F18" s="15"/>
      <c r="G18" s="20"/>
      <c r="H18" s="16"/>
    </row>
    <row r="19" spans="1:8" s="54" customFormat="1" ht="20" customHeight="1">
      <c r="A19" s="71" t="s">
        <v>36</v>
      </c>
      <c r="B19" s="72"/>
      <c r="C19" s="72"/>
      <c r="D19" s="72"/>
      <c r="E19" s="72"/>
      <c r="F19" s="72"/>
      <c r="G19" s="73"/>
      <c r="H19" s="53"/>
    </row>
    <row r="20" spans="1:8" s="56" customFormat="1" ht="20" customHeight="1">
      <c r="A20" s="71" t="s">
        <v>35</v>
      </c>
      <c r="B20" s="72"/>
      <c r="C20" s="72"/>
      <c r="D20" s="72"/>
      <c r="E20" s="72"/>
      <c r="F20" s="72"/>
      <c r="G20" s="73"/>
      <c r="H20" s="55"/>
    </row>
    <row r="21" spans="1:8">
      <c r="A21" s="17"/>
      <c r="B21" s="17"/>
      <c r="C21" s="18"/>
      <c r="D21" s="17"/>
      <c r="E21" s="19"/>
      <c r="F21" s="19"/>
      <c r="G21" s="21"/>
      <c r="H21" s="16"/>
    </row>
    <row r="22" spans="1:8">
      <c r="A22" s="7"/>
      <c r="B22" s="8"/>
      <c r="C22" s="9"/>
      <c r="D22" s="8"/>
      <c r="E22" s="10"/>
      <c r="F22" s="10"/>
      <c r="G22" s="11"/>
    </row>
  </sheetData>
  <mergeCells count="20">
    <mergeCell ref="A20:G20"/>
    <mergeCell ref="A1:G1"/>
    <mergeCell ref="A2:G2"/>
    <mergeCell ref="A8:C8"/>
    <mergeCell ref="E8:G8"/>
    <mergeCell ref="A3:G3"/>
    <mergeCell ref="A4:G4"/>
    <mergeCell ref="A6:G6"/>
    <mergeCell ref="E15:G16"/>
    <mergeCell ref="E17:F17"/>
    <mergeCell ref="A14:C14"/>
    <mergeCell ref="B16:C16"/>
    <mergeCell ref="B17:C17"/>
    <mergeCell ref="E9:G9"/>
    <mergeCell ref="E10:G11"/>
    <mergeCell ref="A5:G5"/>
    <mergeCell ref="E12:G12"/>
    <mergeCell ref="E13:G13"/>
    <mergeCell ref="E14:G14"/>
    <mergeCell ref="A19:G19"/>
  </mergeCells>
  <conditionalFormatting sqref="E13:G13">
    <cfRule type="expression" dxfId="2" priority="8">
      <formula>$E$13="Severe propulsion impairment"</formula>
    </cfRule>
    <cfRule type="expression" dxfId="1" priority="9">
      <formula>$E$13="Mild propulsion impairment"</formula>
    </cfRule>
    <cfRule type="expression" dxfId="0" priority="10">
      <formula>$E$13="Awaiting inputs"</formula>
    </cfRule>
  </conditionalFormatting>
  <dataValidations count="4">
    <dataValidation type="whole" allowBlank="1" showInputMessage="1" showErrorMessage="1" sqref="B10" xr:uid="{35617BBC-5479-9640-8C17-C9ECDF833CE9}">
      <formula1>0</formula1>
      <formula2>34</formula2>
    </dataValidation>
    <dataValidation type="whole" allowBlank="1" showInputMessage="1" showErrorMessage="1" sqref="B11" xr:uid="{F2E5F05C-6573-7045-8805-C2190E25A382}">
      <formula1>0</formula1>
      <formula2>12</formula2>
    </dataValidation>
    <dataValidation type="decimal" operator="greaterThan" allowBlank="1" showInputMessage="1" showErrorMessage="1" sqref="B12" xr:uid="{4F3E7340-F665-E049-9D3E-CB2FA80A734D}">
      <formula1>0</formula1>
    </dataValidation>
    <dataValidation type="decimal" operator="greaterThanOrEqual" allowBlank="1" showInputMessage="1" showErrorMessage="1" sqref="B13" xr:uid="{F7BBBC6F-5D91-0047-8CFB-1C7B29BA9DD3}">
      <formula1>0</formula1>
    </dataValidation>
  </dataValidations>
  <pageMargins left="0.7" right="0.7" top="0.75" bottom="0.75" header="0.3" footer="0.3"/>
  <pageSetup scale="7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08" workbookViewId="0">
      <selection activeCell="A5" sqref="A5"/>
    </sheetView>
  </sheetViews>
  <sheetFormatPr baseColWidth="10" defaultColWidth="8.83203125" defaultRowHeight="14"/>
  <cols>
    <col min="1" max="1" width="22" style="1" customWidth="1"/>
    <col min="2" max="2" width="58" style="1" customWidth="1"/>
    <col min="3" max="3" width="20" style="1" customWidth="1"/>
    <col min="4" max="4" width="28" style="1" customWidth="1"/>
    <col min="5" max="16384" width="8.83203125" style="1"/>
  </cols>
  <sheetData>
    <row r="1" spans="1:5" ht="40" customHeight="1">
      <c r="A1" s="57" t="s">
        <v>34</v>
      </c>
      <c r="B1" s="58"/>
      <c r="C1" s="58"/>
      <c r="D1" s="59"/>
      <c r="E1" s="50"/>
    </row>
    <row r="2" spans="1:5" ht="37.25" customHeight="1">
      <c r="A2" s="38" t="s">
        <v>13</v>
      </c>
      <c r="B2" s="39" t="s">
        <v>28</v>
      </c>
      <c r="C2" s="39" t="s">
        <v>29</v>
      </c>
      <c r="D2" s="40" t="s">
        <v>30</v>
      </c>
      <c r="E2" s="50"/>
    </row>
    <row r="3" spans="1:5" ht="50.75" customHeight="1">
      <c r="A3" s="41" t="s">
        <v>31</v>
      </c>
      <c r="B3" s="42" t="s">
        <v>38</v>
      </c>
      <c r="C3" s="43">
        <v>0.84799999999999998</v>
      </c>
      <c r="D3" s="44" t="s">
        <v>14</v>
      </c>
      <c r="E3" s="50"/>
    </row>
    <row r="4" spans="1:5" ht="50.75" customHeight="1">
      <c r="A4" s="45" t="s">
        <v>32</v>
      </c>
      <c r="B4" s="46" t="s">
        <v>39</v>
      </c>
      <c r="C4" s="47">
        <v>0.879</v>
      </c>
      <c r="D4" s="48" t="s">
        <v>15</v>
      </c>
      <c r="E4" s="50"/>
    </row>
    <row r="5" spans="1:5" s="8" customFormat="1" ht="80" customHeight="1">
      <c r="A5" s="49" t="s">
        <v>16</v>
      </c>
      <c r="B5" s="60" t="s">
        <v>33</v>
      </c>
      <c r="C5" s="60"/>
      <c r="D5" s="61"/>
      <c r="E5" s="13"/>
    </row>
    <row r="6" spans="1:5">
      <c r="A6" s="50"/>
      <c r="B6" s="50"/>
      <c r="C6" s="50"/>
      <c r="D6" s="50"/>
      <c r="E6" s="50"/>
    </row>
    <row r="7" spans="1:5">
      <c r="A7" s="50"/>
      <c r="B7" s="50"/>
      <c r="C7" s="50"/>
      <c r="D7" s="50"/>
      <c r="E7" s="50"/>
    </row>
    <row r="8" spans="1:5">
      <c r="A8" s="50"/>
      <c r="B8" s="50"/>
      <c r="C8" s="50"/>
      <c r="D8" s="50"/>
      <c r="E8" s="50"/>
    </row>
  </sheetData>
  <mergeCells count="2">
    <mergeCell ref="A1:D1"/>
    <mergeCell ref="B5:D5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Supporting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Fei, Jie</cp:lastModifiedBy>
  <cp:lastPrinted>2026-09-13T17:23:53Z</cp:lastPrinted>
  <dcterms:created xsi:type="dcterms:W3CDTF">2026-09-12T00:20:07Z</dcterms:created>
  <dcterms:modified xsi:type="dcterms:W3CDTF">2026-09-13T17:29:40Z</dcterms:modified>
</cp:coreProperties>
</file>